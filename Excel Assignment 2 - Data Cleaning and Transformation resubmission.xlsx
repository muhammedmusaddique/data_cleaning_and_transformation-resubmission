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469F5C6-64D9-44F9-BDB8-2F2A631D0CE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tions" sheetId="1" r:id="rId1"/>
    <sheet name="Dataset" sheetId="2" r:id="rId2"/>
    <sheet name="dataset cleaned in power query" sheetId="4" r:id="rId3"/>
    <sheet name="Sheet1" sheetId="3" r:id="rId4"/>
  </sheets>
  <definedNames>
    <definedName name="_xlnm._FilterDatabase" localSheetId="3" hidden="1">Sheet1!$E$191:$F$195</definedName>
    <definedName name="ExternalData_1" localSheetId="2" hidden="1">'dataset cleaned in power query'!$A$1:$G$33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83" i="3" l="1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82" i="3"/>
  <c r="G113" i="3"/>
  <c r="G1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FB560-50B6-4F39-AD90-68B5A88748A6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<sst xmlns="http://schemas.openxmlformats.org/spreadsheetml/2006/main" count="719" uniqueCount="136">
  <si>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</si>
  <si>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</si>
  <si>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</si>
  <si>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</si>
  <si>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</si>
  <si>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</si>
  <si>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</si>
  <si>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</si>
  <si>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</si>
  <si>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</si>
  <si>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</si>
  <si>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</si>
  <si>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</si>
  <si>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</si>
  <si>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</si>
  <si>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</si>
  <si>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</si>
  <si>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</si>
  <si>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</si>
  <si>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</si>
  <si>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</si>
  <si>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</si>
  <si>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</si>
  <si>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</si>
  <si>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</si>
  <si>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</si>
  <si>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</si>
  <si>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</si>
  <si>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</si>
  <si>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</si>
  <si>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</si>
  <si>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</si>
  <si>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</si>
  <si>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</si>
  <si>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</si>
  <si>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</si>
  <si>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</si>
  <si>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</si>
  <si>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</si>
  <si>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</si>
  <si>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</si>
  <si>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</si>
  <si>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</si>
  <si>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</si>
  <si>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</si>
  <si>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</si>
  <si>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</si>
  <si>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</si>
  <si>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</si>
  <si>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</si>
  <si>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</si>
  <si>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</si>
  <si>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</si>
  <si>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</si>
  <si>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</si>
  <si>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</si>
  <si>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</si>
  <si>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</si>
  <si>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</si>
  <si>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</si>
  <si>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</si>
  <si>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</si>
  <si>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</si>
  <si>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</si>
  <si>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</si>
  <si>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</si>
  <si>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</si>
  <si>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</si>
  <si>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</si>
  <si>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</si>
  <si>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</si>
  <si>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</si>
  <si>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</si>
  <si>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</si>
  <si>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</si>
  <si>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</si>
  <si>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</si>
  <si>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</si>
  <si>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</si>
  <si>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</si>
  <si>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</si>
  <si>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</si>
  <si>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</si>
  <si>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</si>
  <si>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</si>
  <si>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</si>
  <si>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</si>
  <si>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</si>
  <si>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</si>
  <si>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</si>
  <si>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</si>
  <si>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</si>
  <si>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</si>
  <si>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</si>
  <si>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</si>
  <si>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</si>
  <si>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</si>
  <si>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</si>
  <si>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</si>
  <si>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</si>
  <si>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</si>
  <si>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</si>
  <si>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</si>
  <si>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</si>
  <si>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</si>
  <si>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</si>
  <si>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</si>
  <si>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</si>
  <si>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</si>
  <si>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</si>
  <si>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</si>
  <si>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</si>
  <si>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</si>
  <si>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</si>
  <si>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</si>
  <si>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</si>
  <si>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</si>
  <si>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</si>
  <si>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</si>
  <si>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</si>
  <si>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</si>
  <si>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</si>
  <si>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</si>
  <si>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</si>
  <si>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</si>
  <si>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</si>
  <si>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</si>
  <si>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</si>
  <si>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</si>
  <si>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1)</t>
  </si>
  <si>
    <t>2)</t>
  </si>
  <si>
    <t>Product Brand</t>
  </si>
  <si>
    <r>
      <t>2) If the missing categories cannot be determined from the product information, replace them with the mode</t>
    </r>
    <r>
      <rPr>
        <b/>
        <i/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. If there are many missing values, use "Unknown" as a separate category instead of imputing them all with the mode</t>
    </r>
  </si>
  <si>
    <t>1) Price is a numerical variable. First, check whether the missing prices can be obtained from the original source. If not, replace the missing values with the median price of the available products</t>
  </si>
  <si>
    <t>manufacturing date</t>
  </si>
  <si>
    <t>Electronicscs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</si>
</sst>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&quot;₹&quot;\ #,##0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i/>
      <sz val="14"/>
      <color theme="1"/>
      <name val="Times New Roman"/>
      <family val="1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10" fillId="0" borderId="0" xfId="0" applyFont="1"/>
    <xf numFmtId="0" fontId="12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4" fontId="0" fillId="0" borderId="0" xfId="0" applyNumberFormat="1"/>
    <xf numFmtId="0" fontId="13" fillId="4" borderId="1" xfId="0" applyFont="1" applyFill="1" applyBorder="1"/>
    <xf numFmtId="0" fontId="13" fillId="4" borderId="2" xfId="0" applyFont="1" applyFill="1" applyBorder="1"/>
    <xf numFmtId="0" fontId="13" fillId="4" borderId="3" xfId="0" applyFont="1" applyFill="1" applyBorder="1"/>
    <xf numFmtId="0" fontId="14" fillId="5" borderId="3" xfId="0" applyFont="1" applyFill="1" applyBorder="1"/>
    <xf numFmtId="0" fontId="14" fillId="0" borderId="3" xfId="0" applyFont="1" applyBorder="1"/>
    <xf numFmtId="14" fontId="14" fillId="5" borderId="1" xfId="0" applyNumberFormat="1" applyFont="1" applyFill="1" applyBorder="1"/>
    <xf numFmtId="14" fontId="14" fillId="0" borderId="1" xfId="0" applyNumberFormat="1" applyFont="1" applyBorder="1"/>
    <xf numFmtId="14" fontId="14" fillId="5" borderId="1" xfId="0" applyNumberFormat="1" applyFont="1" applyFill="1" applyBorder="1" applyAlignment="1">
      <alignment horizontal="left"/>
    </xf>
    <xf numFmtId="0" fontId="14" fillId="5" borderId="2" xfId="0" applyFont="1" applyFill="1" applyBorder="1"/>
    <xf numFmtId="0" fontId="14" fillId="0" borderId="2" xfId="0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7" fontId="0" fillId="0" borderId="0" xfId="0" applyNumberFormat="1"/>
    <xf numFmtId="164" fontId="13" fillId="4" borderId="2" xfId="0" applyNumberFormat="1" applyFont="1" applyFill="1" applyBorder="1"/>
    <xf numFmtId="167" fontId="14" fillId="5" borderId="2" xfId="0" applyNumberFormat="1" applyFont="1" applyFill="1" applyBorder="1"/>
    <xf numFmtId="167" fontId="14" fillId="0" borderId="2" xfId="0" applyNumberFormat="1" applyFont="1" applyBorder="1"/>
    <xf numFmtId="167" fontId="14" fillId="0" borderId="0" xfId="0" applyNumberFormat="1" applyFont="1" applyBorder="1"/>
    <xf numFmtId="0" fontId="14" fillId="0" borderId="0" xfId="0" applyFont="1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&quot;₹&quot;\ #,##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2F822A-8363-474E-82F6-33C04E4CA6E6}" autoFormatId="16" applyNumberFormats="0" applyBorderFormats="0" applyFontFormats="0" applyPatternFormats="0" applyAlignmentFormats="0" applyWidthHeightFormats="0">
  <queryTableRefresh nextId="22">
    <queryTableFields count="7">
      <queryTableField id="18" name="manufacturing date" tableColumnId="18"/>
      <queryTableField id="19" name="country code" tableColumnId="19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7217F-8904-468E-9691-E69B860DCBA6}" name="Dataset" displayName="Dataset" ref="A1:G33" tableType="queryTable" totalsRowShown="0">
  <autoFilter ref="A1:G33" xr:uid="{8457217F-8904-468E-9691-E69B860DCBA6}"/>
  <tableColumns count="7">
    <tableColumn id="18" xr3:uid="{35109956-C00F-49A3-A1A7-3B96410B35F6}" uniqueName="18" name="manufacturing date" queryTableFieldId="18" dataDxfId="3"/>
    <tableColumn id="19" xr3:uid="{9E493731-16DC-448F-B9BD-5AF7B125BD3A}" uniqueName="19" name="country code" queryTableFieldId="19" dataDxfId="7"/>
    <tableColumn id="3" xr3:uid="{55315600-C2C5-4873-BC2C-75FCA88FA43A}" uniqueName="3" name="Product Name" queryTableFieldId="3" dataDxfId="6"/>
    <tableColumn id="4" xr3:uid="{8113E589-A8CB-4ADD-9593-698C777B4F58}" uniqueName="4" name="Brand Name" queryTableFieldId="4" dataDxfId="4"/>
    <tableColumn id="5" xr3:uid="{D74287BA-C2D2-4ABD-BD86-BB0E9EFCB7F1}" uniqueName="5" name="Price ($)" queryTableFieldId="5" dataDxfId="2"/>
    <tableColumn id="6" xr3:uid="{B1B2D247-2E46-4F97-8CD0-BDA5207E2AFA}" uniqueName="6" name="Quantity" queryTableFieldId="6"/>
    <tableColumn id="7" xr3:uid="{A4BBA73B-8FEB-4D2F-B208-5E7AB73CEAE7}" uniqueName="7" name="Category" queryTableFieldId="7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E11" sqref="E1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B1" sqref="B1:B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AB22-9E7F-4B2C-82E0-11D6C24EA785}">
  <dimension ref="A1:G33"/>
  <sheetViews>
    <sheetView workbookViewId="0">
      <selection activeCell="G1" sqref="G1:G33"/>
    </sheetView>
  </sheetViews>
  <sheetFormatPr defaultRowHeight="13.2" x14ac:dyDescent="0.25"/>
  <cols>
    <col min="1" max="1" width="20.33203125" bestFit="1" customWidth="1"/>
    <col min="2" max="2" width="14.77734375" bestFit="1" customWidth="1"/>
    <col min="3" max="3" width="15.77734375" bestFit="1" customWidth="1"/>
    <col min="4" max="4" width="14" bestFit="1" customWidth="1"/>
    <col min="5" max="5" width="10.5546875" style="28" bestFit="1" customWidth="1"/>
    <col min="6" max="6" width="10.6640625" bestFit="1" customWidth="1"/>
    <col min="7" max="7" width="11.21875" bestFit="1" customWidth="1"/>
    <col min="8" max="8" width="10.6640625" bestFit="1" customWidth="1"/>
    <col min="9" max="9" width="11.21875" bestFit="1" customWidth="1"/>
    <col min="10" max="12" width="10.88671875" bestFit="1" customWidth="1"/>
    <col min="13" max="19" width="11.88671875" bestFit="1" customWidth="1"/>
  </cols>
  <sheetData>
    <row r="1" spans="1:7" x14ac:dyDescent="0.25">
      <c r="A1" t="s">
        <v>134</v>
      </c>
      <c r="B1" t="s">
        <v>128</v>
      </c>
      <c r="C1" t="s">
        <v>20</v>
      </c>
      <c r="D1" t="s">
        <v>21</v>
      </c>
      <c r="E1" s="28" t="s">
        <v>22</v>
      </c>
      <c r="F1" t="s">
        <v>23</v>
      </c>
      <c r="G1" t="s">
        <v>24</v>
      </c>
    </row>
    <row r="2" spans="1:7" x14ac:dyDescent="0.25">
      <c r="A2" s="15">
        <v>46050</v>
      </c>
      <c r="B2" t="s">
        <v>116</v>
      </c>
      <c r="C2" t="s">
        <v>26</v>
      </c>
      <c r="D2" t="s">
        <v>27</v>
      </c>
      <c r="E2" s="29">
        <v>1000</v>
      </c>
      <c r="F2">
        <v>30</v>
      </c>
      <c r="G2" t="s">
        <v>28</v>
      </c>
    </row>
    <row r="3" spans="1:7" x14ac:dyDescent="0.25">
      <c r="A3" s="15">
        <v>46068</v>
      </c>
      <c r="B3" t="s">
        <v>116</v>
      </c>
      <c r="C3" t="s">
        <v>30</v>
      </c>
      <c r="D3" t="s">
        <v>31</v>
      </c>
      <c r="E3" s="29">
        <v>80</v>
      </c>
      <c r="F3">
        <v>15</v>
      </c>
      <c r="G3" t="s">
        <v>32</v>
      </c>
    </row>
    <row r="4" spans="1:7" x14ac:dyDescent="0.25">
      <c r="A4" s="15">
        <v>46084</v>
      </c>
      <c r="B4" t="s">
        <v>116</v>
      </c>
      <c r="C4" t="s">
        <v>34</v>
      </c>
      <c r="D4" t="s">
        <v>35</v>
      </c>
      <c r="E4" s="29">
        <v>130</v>
      </c>
      <c r="F4">
        <v>40</v>
      </c>
      <c r="G4" t="s">
        <v>36</v>
      </c>
    </row>
    <row r="5" spans="1:7" x14ac:dyDescent="0.25">
      <c r="A5" s="15">
        <v>46123</v>
      </c>
      <c r="B5" t="s">
        <v>116</v>
      </c>
      <c r="C5" t="s">
        <v>38</v>
      </c>
      <c r="D5" t="s">
        <v>39</v>
      </c>
      <c r="E5" s="29">
        <v>900</v>
      </c>
      <c r="F5">
        <v>25</v>
      </c>
      <c r="G5" t="s">
        <v>28</v>
      </c>
    </row>
    <row r="6" spans="1:7" x14ac:dyDescent="0.25">
      <c r="A6" s="15">
        <v>46164</v>
      </c>
      <c r="B6" t="s">
        <v>116</v>
      </c>
      <c r="C6" t="s">
        <v>41</v>
      </c>
      <c r="D6" t="s">
        <v>42</v>
      </c>
      <c r="E6" s="29">
        <v>70</v>
      </c>
      <c r="F6">
        <v>20</v>
      </c>
      <c r="G6" t="s">
        <v>28</v>
      </c>
    </row>
    <row r="7" spans="1:7" x14ac:dyDescent="0.25">
      <c r="A7" s="15">
        <v>46180</v>
      </c>
      <c r="B7" t="s">
        <v>117</v>
      </c>
      <c r="C7" t="s">
        <v>44</v>
      </c>
      <c r="D7" t="s">
        <v>45</v>
      </c>
      <c r="E7" s="29">
        <v>130</v>
      </c>
      <c r="F7">
        <v>45</v>
      </c>
      <c r="G7" t="s">
        <v>28</v>
      </c>
    </row>
    <row r="8" spans="1:7" x14ac:dyDescent="0.25">
      <c r="A8" s="15">
        <v>46222</v>
      </c>
      <c r="B8" t="s">
        <v>117</v>
      </c>
      <c r="C8" t="s">
        <v>48</v>
      </c>
      <c r="D8" t="s">
        <v>49</v>
      </c>
      <c r="E8" s="29">
        <v>30</v>
      </c>
      <c r="F8">
        <v>5</v>
      </c>
      <c r="G8" t="s">
        <v>32</v>
      </c>
    </row>
    <row r="9" spans="1:7" x14ac:dyDescent="0.25">
      <c r="A9" s="15">
        <v>46257</v>
      </c>
      <c r="B9" t="s">
        <v>117</v>
      </c>
      <c r="C9" t="s">
        <v>51</v>
      </c>
      <c r="D9" t="s">
        <v>52</v>
      </c>
      <c r="E9" s="29">
        <v>90</v>
      </c>
      <c r="F9">
        <v>35</v>
      </c>
      <c r="G9" t="s">
        <v>36</v>
      </c>
    </row>
    <row r="10" spans="1:7" x14ac:dyDescent="0.25">
      <c r="A10" s="15">
        <v>46270</v>
      </c>
      <c r="B10" t="s">
        <v>117</v>
      </c>
      <c r="C10" t="s">
        <v>54</v>
      </c>
      <c r="D10" t="s">
        <v>55</v>
      </c>
      <c r="E10" s="29">
        <v>500</v>
      </c>
      <c r="F10">
        <v>50</v>
      </c>
      <c r="G10" t="s">
        <v>28</v>
      </c>
    </row>
    <row r="11" spans="1:7" x14ac:dyDescent="0.25">
      <c r="A11" s="15">
        <v>46309</v>
      </c>
      <c r="B11" t="s">
        <v>117</v>
      </c>
      <c r="C11" t="s">
        <v>57</v>
      </c>
      <c r="D11" t="s">
        <v>58</v>
      </c>
      <c r="E11" s="29">
        <v>130</v>
      </c>
      <c r="F11">
        <v>10</v>
      </c>
      <c r="G11" t="s">
        <v>59</v>
      </c>
    </row>
    <row r="12" spans="1:7" x14ac:dyDescent="0.25">
      <c r="A12" s="15">
        <v>46190</v>
      </c>
      <c r="B12" t="s">
        <v>118</v>
      </c>
      <c r="C12" t="s">
        <v>61</v>
      </c>
      <c r="D12" t="s">
        <v>62</v>
      </c>
      <c r="E12" s="29">
        <v>950</v>
      </c>
      <c r="F12">
        <v>25</v>
      </c>
      <c r="G12" t="s">
        <v>28</v>
      </c>
    </row>
    <row r="13" spans="1:7" x14ac:dyDescent="0.25">
      <c r="A13" s="15">
        <v>46351</v>
      </c>
      <c r="B13" t="s">
        <v>119</v>
      </c>
      <c r="C13" t="s">
        <v>30</v>
      </c>
      <c r="D13" t="s">
        <v>49</v>
      </c>
      <c r="E13" s="29">
        <v>90</v>
      </c>
      <c r="F13">
        <v>40</v>
      </c>
      <c r="G13" t="s">
        <v>28</v>
      </c>
    </row>
    <row r="14" spans="1:7" x14ac:dyDescent="0.25">
      <c r="A14" s="15">
        <v>46364</v>
      </c>
      <c r="B14" t="s">
        <v>120</v>
      </c>
      <c r="C14" t="s">
        <v>34</v>
      </c>
      <c r="D14" t="s">
        <v>65</v>
      </c>
      <c r="E14" s="29">
        <v>120</v>
      </c>
      <c r="F14">
        <v>35</v>
      </c>
      <c r="G14" t="s">
        <v>28</v>
      </c>
    </row>
    <row r="15" spans="1:7" x14ac:dyDescent="0.25">
      <c r="A15" s="15">
        <v>46071</v>
      </c>
      <c r="B15" t="s">
        <v>121</v>
      </c>
      <c r="C15" t="s">
        <v>67</v>
      </c>
      <c r="D15" t="s">
        <v>68</v>
      </c>
      <c r="E15" s="29">
        <v>150</v>
      </c>
      <c r="F15">
        <v>15</v>
      </c>
      <c r="G15" t="s">
        <v>28</v>
      </c>
    </row>
    <row r="16" spans="1:7" x14ac:dyDescent="0.25">
      <c r="A16" s="15">
        <v>46128</v>
      </c>
      <c r="B16" t="s">
        <v>122</v>
      </c>
      <c r="C16" t="s">
        <v>70</v>
      </c>
      <c r="D16" t="s">
        <v>71</v>
      </c>
      <c r="E16" s="29">
        <v>250</v>
      </c>
      <c r="F16">
        <v>20</v>
      </c>
      <c r="G16" t="s">
        <v>28</v>
      </c>
    </row>
    <row r="17" spans="1:7" x14ac:dyDescent="0.25">
      <c r="A17" s="15">
        <v>46255</v>
      </c>
      <c r="B17" t="s">
        <v>121</v>
      </c>
      <c r="C17" t="s">
        <v>73</v>
      </c>
      <c r="D17" t="s">
        <v>74</v>
      </c>
      <c r="E17" s="29">
        <v>50</v>
      </c>
      <c r="F17">
        <v>35</v>
      </c>
      <c r="G17" t="s">
        <v>75</v>
      </c>
    </row>
    <row r="18" spans="1:7" x14ac:dyDescent="0.25">
      <c r="A18" s="15">
        <v>46254</v>
      </c>
      <c r="B18" t="s">
        <v>123</v>
      </c>
      <c r="C18" t="s">
        <v>67</v>
      </c>
      <c r="D18" t="s">
        <v>77</v>
      </c>
      <c r="E18" s="29">
        <v>160</v>
      </c>
      <c r="F18">
        <v>15</v>
      </c>
      <c r="G18" t="s">
        <v>28</v>
      </c>
    </row>
    <row r="19" spans="1:7" x14ac:dyDescent="0.25">
      <c r="A19" s="15">
        <v>46049</v>
      </c>
      <c r="B19" t="s">
        <v>124</v>
      </c>
      <c r="C19" t="s">
        <v>26</v>
      </c>
      <c r="D19" t="s">
        <v>79</v>
      </c>
      <c r="E19" s="29">
        <v>980</v>
      </c>
      <c r="F19">
        <v>10</v>
      </c>
      <c r="G19" t="s">
        <v>28</v>
      </c>
    </row>
    <row r="20" spans="1:7" x14ac:dyDescent="0.25">
      <c r="A20" s="15">
        <v>46082</v>
      </c>
      <c r="B20" t="s">
        <v>117</v>
      </c>
      <c r="C20" t="s">
        <v>81</v>
      </c>
      <c r="D20" t="s">
        <v>82</v>
      </c>
      <c r="E20" s="29">
        <v>150</v>
      </c>
      <c r="F20">
        <v>15</v>
      </c>
      <c r="G20" t="s">
        <v>32</v>
      </c>
    </row>
    <row r="21" spans="1:7" x14ac:dyDescent="0.25">
      <c r="A21" s="15">
        <v>46248</v>
      </c>
      <c r="B21" t="s">
        <v>116</v>
      </c>
      <c r="C21" t="s">
        <v>84</v>
      </c>
      <c r="D21" t="s">
        <v>85</v>
      </c>
      <c r="E21" s="29">
        <v>130</v>
      </c>
      <c r="F21">
        <v>10</v>
      </c>
      <c r="G21" t="s">
        <v>59</v>
      </c>
    </row>
    <row r="22" spans="1:7" x14ac:dyDescent="0.25">
      <c r="A22" s="15">
        <v>46156</v>
      </c>
      <c r="B22" t="s">
        <v>125</v>
      </c>
      <c r="C22" t="s">
        <v>87</v>
      </c>
      <c r="D22" t="s">
        <v>88</v>
      </c>
      <c r="E22" s="29">
        <v>700</v>
      </c>
      <c r="F22">
        <v>50</v>
      </c>
      <c r="G22" t="s">
        <v>28</v>
      </c>
    </row>
    <row r="23" spans="1:7" x14ac:dyDescent="0.25">
      <c r="A23" s="15">
        <v>46031</v>
      </c>
      <c r="B23" t="s">
        <v>121</v>
      </c>
      <c r="C23" t="s">
        <v>90</v>
      </c>
      <c r="D23" t="s">
        <v>91</v>
      </c>
      <c r="E23" s="29">
        <v>80</v>
      </c>
      <c r="F23">
        <v>20</v>
      </c>
      <c r="G23" t="s">
        <v>36</v>
      </c>
    </row>
    <row r="24" spans="1:7" x14ac:dyDescent="0.25">
      <c r="A24" s="15">
        <v>46222</v>
      </c>
      <c r="B24" t="s">
        <v>126</v>
      </c>
      <c r="C24" t="s">
        <v>93</v>
      </c>
      <c r="D24" t="s">
        <v>94</v>
      </c>
      <c r="E24" s="29">
        <v>150</v>
      </c>
      <c r="F24">
        <v>30</v>
      </c>
      <c r="G24" t="s">
        <v>28</v>
      </c>
    </row>
    <row r="25" spans="1:7" x14ac:dyDescent="0.25">
      <c r="A25" s="15">
        <v>46294</v>
      </c>
      <c r="B25" t="s">
        <v>121</v>
      </c>
      <c r="C25" t="s">
        <v>96</v>
      </c>
      <c r="D25" t="s">
        <v>97</v>
      </c>
      <c r="E25" s="29">
        <v>800</v>
      </c>
      <c r="F25">
        <v>45</v>
      </c>
      <c r="G25" t="s">
        <v>28</v>
      </c>
    </row>
    <row r="26" spans="1:7" x14ac:dyDescent="0.25">
      <c r="A26" s="15">
        <v>46176</v>
      </c>
      <c r="B26" t="s">
        <v>121</v>
      </c>
      <c r="C26" t="s">
        <v>81</v>
      </c>
      <c r="D26" t="s">
        <v>99</v>
      </c>
      <c r="E26" s="29">
        <v>130</v>
      </c>
      <c r="F26">
        <v>25</v>
      </c>
      <c r="G26" t="s">
        <v>32</v>
      </c>
    </row>
    <row r="27" spans="1:7" x14ac:dyDescent="0.25">
      <c r="A27" s="15">
        <v>46214</v>
      </c>
      <c r="B27" t="s">
        <v>121</v>
      </c>
      <c r="C27" t="s">
        <v>51</v>
      </c>
      <c r="D27" t="s">
        <v>101</v>
      </c>
      <c r="E27" s="29">
        <v>400</v>
      </c>
      <c r="F27">
        <v>40</v>
      </c>
      <c r="G27" t="s">
        <v>36</v>
      </c>
    </row>
    <row r="28" spans="1:7" x14ac:dyDescent="0.25">
      <c r="A28" s="15">
        <v>46088</v>
      </c>
      <c r="B28" t="s">
        <v>121</v>
      </c>
      <c r="C28" t="s">
        <v>103</v>
      </c>
      <c r="D28" t="s">
        <v>104</v>
      </c>
      <c r="E28" s="29">
        <v>60</v>
      </c>
      <c r="F28">
        <v>30</v>
      </c>
      <c r="G28" t="s">
        <v>32</v>
      </c>
    </row>
    <row r="29" spans="1:7" x14ac:dyDescent="0.25">
      <c r="A29" s="15">
        <v>46125</v>
      </c>
      <c r="B29" t="s">
        <v>121</v>
      </c>
      <c r="C29" t="s">
        <v>106</v>
      </c>
      <c r="D29" t="s">
        <v>107</v>
      </c>
      <c r="E29" s="29">
        <v>40</v>
      </c>
      <c r="F29">
        <v>10</v>
      </c>
      <c r="G29" t="s">
        <v>36</v>
      </c>
    </row>
    <row r="30" spans="1:7" x14ac:dyDescent="0.25">
      <c r="A30" s="15">
        <v>46166</v>
      </c>
      <c r="B30" t="s">
        <v>121</v>
      </c>
      <c r="C30" t="s">
        <v>93</v>
      </c>
      <c r="D30" t="s">
        <v>109</v>
      </c>
      <c r="E30" s="29">
        <v>130</v>
      </c>
      <c r="F30">
        <v>5</v>
      </c>
      <c r="G30" t="s">
        <v>28</v>
      </c>
    </row>
    <row r="31" spans="1:7" x14ac:dyDescent="0.25">
      <c r="A31" s="15">
        <v>46358</v>
      </c>
      <c r="B31" t="s">
        <v>121</v>
      </c>
      <c r="C31" t="s">
        <v>111</v>
      </c>
      <c r="D31" t="s">
        <v>112</v>
      </c>
      <c r="E31" s="29">
        <v>50</v>
      </c>
      <c r="F31">
        <v>50</v>
      </c>
      <c r="G31" t="s">
        <v>32</v>
      </c>
    </row>
    <row r="32" spans="1:7" x14ac:dyDescent="0.25">
      <c r="A32" s="15">
        <v>46212</v>
      </c>
      <c r="B32" t="s">
        <v>127</v>
      </c>
      <c r="C32" t="s">
        <v>114</v>
      </c>
      <c r="D32" t="s">
        <v>115</v>
      </c>
      <c r="E32" s="29">
        <v>100</v>
      </c>
      <c r="F32">
        <v>20</v>
      </c>
      <c r="G32" t="s">
        <v>75</v>
      </c>
    </row>
    <row r="33" spans="1:7" x14ac:dyDescent="0.25">
      <c r="A33" s="15"/>
      <c r="E33" s="29">
        <v>130</v>
      </c>
      <c r="G33" t="s">
        <v>28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2013-5FAC-449B-B364-9EA575E44E44}">
  <dimension ref="A1:T223"/>
  <sheetViews>
    <sheetView tabSelected="1" workbookViewId="0">
      <selection activeCell="I36" sqref="I36"/>
    </sheetView>
  </sheetViews>
  <sheetFormatPr defaultRowHeight="13.2" x14ac:dyDescent="0.25"/>
  <cols>
    <col min="1" max="1" width="6.77734375" customWidth="1"/>
    <col min="2" max="2" width="10.77734375" bestFit="1" customWidth="1"/>
    <col min="3" max="3" width="18.109375" bestFit="1" customWidth="1"/>
    <col min="4" max="4" width="12.5546875" bestFit="1" customWidth="1"/>
    <col min="5" max="5" width="9.6640625" bestFit="1" customWidth="1"/>
    <col min="6" max="6" width="23.5546875" customWidth="1"/>
    <col min="7" max="7" width="20.77734375" bestFit="1" customWidth="1"/>
    <col min="9" max="9" width="13.88671875" customWidth="1"/>
    <col min="10" max="10" width="18.109375" bestFit="1" customWidth="1"/>
    <col min="12" max="12" width="11.88671875" bestFit="1" customWidth="1"/>
  </cols>
  <sheetData>
    <row r="1" spans="1:20" ht="24.6" customHeight="1" x14ac:dyDescent="0.35">
      <c r="A1" s="26" t="s">
        <v>1</v>
      </c>
      <c r="B1" s="26"/>
      <c r="C1" s="26"/>
    </row>
    <row r="3" spans="1:20" x14ac:dyDescent="0.25">
      <c r="A3" s="27" t="s">
        <v>133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10"/>
      <c r="S3" s="10"/>
      <c r="T3" s="10"/>
    </row>
    <row r="4" spans="1:20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s="27" t="s">
        <v>132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7" spans="1:20" x14ac:dyDescent="0.25">
      <c r="B7" t="s">
        <v>129</v>
      </c>
      <c r="C7" s="30" t="s">
        <v>22</v>
      </c>
      <c r="E7" t="s">
        <v>130</v>
      </c>
      <c r="F7" s="18" t="s">
        <v>24</v>
      </c>
    </row>
    <row r="8" spans="1:20" x14ac:dyDescent="0.25">
      <c r="C8" s="31">
        <v>1000</v>
      </c>
      <c r="F8" s="19" t="s">
        <v>28</v>
      </c>
    </row>
    <row r="9" spans="1:20" x14ac:dyDescent="0.25">
      <c r="C9" s="32">
        <v>80</v>
      </c>
      <c r="F9" s="20" t="s">
        <v>32</v>
      </c>
    </row>
    <row r="10" spans="1:20" x14ac:dyDescent="0.25">
      <c r="C10" s="31">
        <v>130</v>
      </c>
      <c r="F10" s="19" t="s">
        <v>36</v>
      </c>
    </row>
    <row r="11" spans="1:20" x14ac:dyDescent="0.25">
      <c r="C11" s="32">
        <v>900</v>
      </c>
      <c r="F11" s="20" t="s">
        <v>28</v>
      </c>
    </row>
    <row r="12" spans="1:20" x14ac:dyDescent="0.25">
      <c r="C12" s="31">
        <v>70</v>
      </c>
      <c r="F12" s="19" t="s">
        <v>28</v>
      </c>
    </row>
    <row r="13" spans="1:20" x14ac:dyDescent="0.25">
      <c r="C13" s="32">
        <v>130</v>
      </c>
      <c r="F13" s="20" t="s">
        <v>28</v>
      </c>
    </row>
    <row r="14" spans="1:20" x14ac:dyDescent="0.25">
      <c r="C14" s="31">
        <v>30</v>
      </c>
      <c r="F14" s="19" t="s">
        <v>32</v>
      </c>
    </row>
    <row r="15" spans="1:20" x14ac:dyDescent="0.25">
      <c r="C15" s="32">
        <v>90</v>
      </c>
      <c r="F15" s="20" t="s">
        <v>36</v>
      </c>
    </row>
    <row r="16" spans="1:20" x14ac:dyDescent="0.25">
      <c r="C16" s="31">
        <v>500</v>
      </c>
      <c r="F16" s="19" t="s">
        <v>28</v>
      </c>
    </row>
    <row r="17" spans="3:6" x14ac:dyDescent="0.25">
      <c r="C17" s="32">
        <v>130</v>
      </c>
      <c r="F17" s="20" t="s">
        <v>59</v>
      </c>
    </row>
    <row r="18" spans="3:6" x14ac:dyDescent="0.25">
      <c r="C18" s="31">
        <v>950</v>
      </c>
      <c r="F18" s="19" t="s">
        <v>28</v>
      </c>
    </row>
    <row r="19" spans="3:6" x14ac:dyDescent="0.25">
      <c r="C19" s="32">
        <v>90</v>
      </c>
      <c r="F19" s="20" t="s">
        <v>28</v>
      </c>
    </row>
    <row r="20" spans="3:6" x14ac:dyDescent="0.25">
      <c r="C20" s="31">
        <v>120</v>
      </c>
      <c r="F20" s="19" t="s">
        <v>28</v>
      </c>
    </row>
    <row r="21" spans="3:6" x14ac:dyDescent="0.25">
      <c r="C21" s="32">
        <v>150</v>
      </c>
      <c r="F21" s="20" t="s">
        <v>28</v>
      </c>
    </row>
    <row r="22" spans="3:6" x14ac:dyDescent="0.25">
      <c r="C22" s="31">
        <v>250</v>
      </c>
      <c r="F22" s="19" t="s">
        <v>28</v>
      </c>
    </row>
    <row r="23" spans="3:6" x14ac:dyDescent="0.25">
      <c r="C23" s="32">
        <v>50</v>
      </c>
      <c r="F23" s="20" t="s">
        <v>75</v>
      </c>
    </row>
    <row r="24" spans="3:6" x14ac:dyDescent="0.25">
      <c r="C24" s="31">
        <v>160</v>
      </c>
      <c r="F24" s="19" t="s">
        <v>28</v>
      </c>
    </row>
    <row r="25" spans="3:6" x14ac:dyDescent="0.25">
      <c r="C25" s="32">
        <v>980</v>
      </c>
      <c r="F25" s="20" t="s">
        <v>28</v>
      </c>
    </row>
    <row r="26" spans="3:6" x14ac:dyDescent="0.25">
      <c r="C26" s="31">
        <v>150</v>
      </c>
      <c r="F26" s="19" t="s">
        <v>32</v>
      </c>
    </row>
    <row r="27" spans="3:6" x14ac:dyDescent="0.25">
      <c r="C27" s="32">
        <v>130</v>
      </c>
      <c r="F27" s="20" t="s">
        <v>59</v>
      </c>
    </row>
    <row r="28" spans="3:6" x14ac:dyDescent="0.25">
      <c r="C28" s="31">
        <v>700</v>
      </c>
      <c r="F28" s="19" t="s">
        <v>28</v>
      </c>
    </row>
    <row r="29" spans="3:6" x14ac:dyDescent="0.25">
      <c r="C29" s="32">
        <v>80</v>
      </c>
      <c r="F29" s="20" t="s">
        <v>36</v>
      </c>
    </row>
    <row r="30" spans="3:6" x14ac:dyDescent="0.25">
      <c r="C30" s="31">
        <v>150</v>
      </c>
      <c r="F30" s="19" t="s">
        <v>28</v>
      </c>
    </row>
    <row r="31" spans="3:6" x14ac:dyDescent="0.25">
      <c r="C31" s="32">
        <v>800</v>
      </c>
      <c r="F31" s="20" t="s">
        <v>28</v>
      </c>
    </row>
    <row r="32" spans="3:6" x14ac:dyDescent="0.25">
      <c r="C32" s="31">
        <v>130</v>
      </c>
      <c r="F32" s="19" t="s">
        <v>32</v>
      </c>
    </row>
    <row r="33" spans="1:7" x14ac:dyDescent="0.25">
      <c r="C33" s="32">
        <v>400</v>
      </c>
      <c r="F33" s="20" t="s">
        <v>36</v>
      </c>
    </row>
    <row r="34" spans="1:7" x14ac:dyDescent="0.25">
      <c r="C34" s="31">
        <v>60</v>
      </c>
      <c r="F34" s="19" t="s">
        <v>32</v>
      </c>
    </row>
    <row r="35" spans="1:7" x14ac:dyDescent="0.25">
      <c r="C35" s="32">
        <v>40</v>
      </c>
      <c r="F35" s="20" t="s">
        <v>36</v>
      </c>
    </row>
    <row r="36" spans="1:7" x14ac:dyDescent="0.25">
      <c r="C36" s="31">
        <v>130</v>
      </c>
      <c r="F36" s="19" t="s">
        <v>28</v>
      </c>
    </row>
    <row r="37" spans="1:7" x14ac:dyDescent="0.25">
      <c r="C37" s="32">
        <v>50</v>
      </c>
      <c r="F37" s="20" t="s">
        <v>32</v>
      </c>
    </row>
    <row r="38" spans="1:7" x14ac:dyDescent="0.25">
      <c r="C38" s="31">
        <v>100</v>
      </c>
      <c r="F38" s="19" t="s">
        <v>75</v>
      </c>
    </row>
    <row r="39" spans="1:7" x14ac:dyDescent="0.25">
      <c r="C39" s="32">
        <v>130</v>
      </c>
      <c r="F39" s="20" t="s">
        <v>28</v>
      </c>
    </row>
    <row r="40" spans="1:7" x14ac:dyDescent="0.25">
      <c r="C40" s="33"/>
      <c r="F40" s="34"/>
    </row>
    <row r="41" spans="1:7" x14ac:dyDescent="0.25">
      <c r="C41" s="33"/>
      <c r="F41" s="34"/>
    </row>
    <row r="42" spans="1:7" ht="22.2" customHeight="1" x14ac:dyDescent="0.35">
      <c r="A42" s="26" t="s">
        <v>8</v>
      </c>
      <c r="B42" s="26"/>
      <c r="C42" s="26"/>
    </row>
    <row r="44" spans="1:7" x14ac:dyDescent="0.25">
      <c r="B44" s="7" t="s">
        <v>19</v>
      </c>
      <c r="C44" s="11" t="s">
        <v>20</v>
      </c>
      <c r="D44" s="7" t="s">
        <v>21</v>
      </c>
      <c r="E44" s="7" t="s">
        <v>22</v>
      </c>
      <c r="F44" s="7" t="s">
        <v>23</v>
      </c>
      <c r="G44" s="7" t="s">
        <v>24</v>
      </c>
    </row>
    <row r="45" spans="1:7" x14ac:dyDescent="0.25">
      <c r="B45" s="5" t="s">
        <v>25</v>
      </c>
      <c r="C45" s="5" t="s">
        <v>26</v>
      </c>
      <c r="D45" s="5" t="s">
        <v>27</v>
      </c>
      <c r="E45" s="5">
        <v>1000</v>
      </c>
      <c r="F45" s="5">
        <v>30</v>
      </c>
      <c r="G45" s="5" t="s">
        <v>28</v>
      </c>
    </row>
    <row r="46" spans="1:7" x14ac:dyDescent="0.25">
      <c r="B46" s="8" t="s">
        <v>29</v>
      </c>
      <c r="C46" s="8" t="s">
        <v>30</v>
      </c>
      <c r="D46" s="8" t="s">
        <v>31</v>
      </c>
      <c r="E46" s="8">
        <v>80</v>
      </c>
      <c r="F46" s="8">
        <v>15</v>
      </c>
      <c r="G46" s="8" t="s">
        <v>32</v>
      </c>
    </row>
    <row r="47" spans="1:7" x14ac:dyDescent="0.25">
      <c r="B47" s="5" t="s">
        <v>33</v>
      </c>
      <c r="C47" s="5" t="s">
        <v>34</v>
      </c>
      <c r="D47" s="5" t="s">
        <v>35</v>
      </c>
      <c r="E47" s="5">
        <v>130</v>
      </c>
      <c r="F47" s="5">
        <v>40</v>
      </c>
      <c r="G47" s="5" t="s">
        <v>36</v>
      </c>
    </row>
    <row r="48" spans="1:7" x14ac:dyDescent="0.25">
      <c r="B48" s="8" t="s">
        <v>37</v>
      </c>
      <c r="C48" s="8" t="s">
        <v>38</v>
      </c>
      <c r="D48" s="8" t="s">
        <v>39</v>
      </c>
      <c r="E48" s="8">
        <v>900</v>
      </c>
      <c r="F48" s="8">
        <v>25</v>
      </c>
      <c r="G48" s="8" t="s">
        <v>28</v>
      </c>
    </row>
    <row r="49" spans="2:7" x14ac:dyDescent="0.25">
      <c r="B49" s="5" t="s">
        <v>40</v>
      </c>
      <c r="C49" s="5" t="s">
        <v>41</v>
      </c>
      <c r="D49" s="5" t="s">
        <v>42</v>
      </c>
      <c r="E49" s="5">
        <v>70</v>
      </c>
      <c r="F49" s="5">
        <v>20</v>
      </c>
      <c r="G49" s="5"/>
    </row>
    <row r="50" spans="2:7" x14ac:dyDescent="0.25">
      <c r="B50" s="8" t="s">
        <v>43</v>
      </c>
      <c r="C50" s="8" t="s">
        <v>44</v>
      </c>
      <c r="D50" s="8" t="s">
        <v>45</v>
      </c>
      <c r="E50" s="8"/>
      <c r="F50" s="8">
        <v>45</v>
      </c>
      <c r="G50" s="8" t="s">
        <v>46</v>
      </c>
    </row>
    <row r="51" spans="2:7" x14ac:dyDescent="0.25">
      <c r="B51" s="5" t="s">
        <v>47</v>
      </c>
      <c r="C51" s="5" t="s">
        <v>48</v>
      </c>
      <c r="D51" s="5" t="s">
        <v>49</v>
      </c>
      <c r="E51" s="5">
        <v>30</v>
      </c>
      <c r="F51" s="5">
        <v>5</v>
      </c>
      <c r="G51" s="5" t="s">
        <v>32</v>
      </c>
    </row>
    <row r="52" spans="2:7" x14ac:dyDescent="0.25">
      <c r="B52" s="8" t="s">
        <v>50</v>
      </c>
      <c r="C52" s="8" t="s">
        <v>51</v>
      </c>
      <c r="D52" s="8" t="s">
        <v>52</v>
      </c>
      <c r="E52" s="8">
        <v>90</v>
      </c>
      <c r="F52" s="8">
        <v>35</v>
      </c>
      <c r="G52" s="8" t="s">
        <v>36</v>
      </c>
    </row>
    <row r="53" spans="2:7" x14ac:dyDescent="0.25">
      <c r="B53" s="5" t="s">
        <v>53</v>
      </c>
      <c r="C53" s="5" t="s">
        <v>54</v>
      </c>
      <c r="D53" s="5" t="s">
        <v>55</v>
      </c>
      <c r="E53" s="5">
        <v>500</v>
      </c>
      <c r="F53" s="5">
        <v>50</v>
      </c>
      <c r="G53" s="5" t="s">
        <v>28</v>
      </c>
    </row>
    <row r="54" spans="2:7" x14ac:dyDescent="0.25">
      <c r="B54" s="8" t="s">
        <v>56</v>
      </c>
      <c r="C54" s="8" t="s">
        <v>57</v>
      </c>
      <c r="D54" s="8" t="s">
        <v>58</v>
      </c>
      <c r="E54" s="8">
        <v>130</v>
      </c>
      <c r="F54" s="8">
        <v>10</v>
      </c>
      <c r="G54" s="8" t="s">
        <v>59</v>
      </c>
    </row>
    <row r="55" spans="2:7" x14ac:dyDescent="0.25">
      <c r="B55" s="5" t="s">
        <v>60</v>
      </c>
      <c r="C55" s="5" t="s">
        <v>61</v>
      </c>
      <c r="D55" s="5" t="s">
        <v>62</v>
      </c>
      <c r="E55" s="5">
        <v>950</v>
      </c>
      <c r="F55" s="5">
        <v>25</v>
      </c>
      <c r="G55" s="5" t="s">
        <v>28</v>
      </c>
    </row>
    <row r="56" spans="2:7" x14ac:dyDescent="0.25">
      <c r="B56" s="8" t="s">
        <v>63</v>
      </c>
      <c r="C56" s="8" t="s">
        <v>30</v>
      </c>
      <c r="D56" s="8" t="s">
        <v>49</v>
      </c>
      <c r="E56" s="8">
        <v>90</v>
      </c>
      <c r="F56" s="8">
        <v>40</v>
      </c>
      <c r="G56" s="8"/>
    </row>
    <row r="57" spans="2:7" x14ac:dyDescent="0.25">
      <c r="B57" s="5" t="s">
        <v>64</v>
      </c>
      <c r="C57" s="5" t="s">
        <v>34</v>
      </c>
      <c r="D57" s="5" t="s">
        <v>65</v>
      </c>
      <c r="E57" s="5">
        <v>120</v>
      </c>
      <c r="F57" s="5">
        <v>35</v>
      </c>
      <c r="G57" s="5"/>
    </row>
    <row r="58" spans="2:7" x14ac:dyDescent="0.25">
      <c r="B58" s="8" t="s">
        <v>66</v>
      </c>
      <c r="C58" s="8" t="s">
        <v>67</v>
      </c>
      <c r="D58" s="8" t="s">
        <v>68</v>
      </c>
      <c r="E58" s="8">
        <v>150</v>
      </c>
      <c r="F58" s="8">
        <v>15</v>
      </c>
      <c r="G58" s="8" t="s">
        <v>46</v>
      </c>
    </row>
    <row r="59" spans="2:7" x14ac:dyDescent="0.25">
      <c r="B59" s="5" t="s">
        <v>69</v>
      </c>
      <c r="C59" s="5" t="s">
        <v>70</v>
      </c>
      <c r="D59" s="5" t="s">
        <v>71</v>
      </c>
      <c r="E59" s="5">
        <v>250</v>
      </c>
      <c r="F59" s="5">
        <v>20</v>
      </c>
      <c r="G59" s="5" t="s">
        <v>46</v>
      </c>
    </row>
    <row r="60" spans="2:7" x14ac:dyDescent="0.25">
      <c r="B60" s="8" t="s">
        <v>72</v>
      </c>
      <c r="C60" s="8" t="s">
        <v>73</v>
      </c>
      <c r="D60" s="8" t="s">
        <v>74</v>
      </c>
      <c r="E60" s="8">
        <v>50</v>
      </c>
      <c r="F60" s="8">
        <v>35</v>
      </c>
      <c r="G60" s="8" t="s">
        <v>75</v>
      </c>
    </row>
    <row r="61" spans="2:7" x14ac:dyDescent="0.25">
      <c r="B61" s="5" t="s">
        <v>76</v>
      </c>
      <c r="C61" s="5" t="s">
        <v>67</v>
      </c>
      <c r="D61" s="5" t="s">
        <v>77</v>
      </c>
      <c r="E61" s="5">
        <v>160</v>
      </c>
      <c r="F61" s="5">
        <v>15</v>
      </c>
      <c r="G61" s="5" t="s">
        <v>46</v>
      </c>
    </row>
    <row r="62" spans="2:7" x14ac:dyDescent="0.25">
      <c r="B62" s="8" t="s">
        <v>78</v>
      </c>
      <c r="C62" s="8" t="s">
        <v>26</v>
      </c>
      <c r="D62" s="8" t="s">
        <v>79</v>
      </c>
      <c r="E62" s="8">
        <v>980</v>
      </c>
      <c r="F62" s="8">
        <v>10</v>
      </c>
      <c r="G62" s="8" t="s">
        <v>28</v>
      </c>
    </row>
    <row r="63" spans="2:7" x14ac:dyDescent="0.25">
      <c r="B63" s="5" t="s">
        <v>80</v>
      </c>
      <c r="C63" s="5" t="s">
        <v>81</v>
      </c>
      <c r="D63" s="5" t="s">
        <v>82</v>
      </c>
      <c r="E63" s="5">
        <v>150</v>
      </c>
      <c r="F63" s="5">
        <v>15</v>
      </c>
      <c r="G63" s="5" t="s">
        <v>32</v>
      </c>
    </row>
    <row r="64" spans="2:7" x14ac:dyDescent="0.25">
      <c r="B64" s="8" t="s">
        <v>83</v>
      </c>
      <c r="C64" s="8" t="s">
        <v>84</v>
      </c>
      <c r="D64" s="8" t="s">
        <v>85</v>
      </c>
      <c r="E64" s="8"/>
      <c r="F64" s="8">
        <v>10</v>
      </c>
      <c r="G64" s="8" t="s">
        <v>59</v>
      </c>
    </row>
    <row r="65" spans="1:7" x14ac:dyDescent="0.25">
      <c r="B65" s="5" t="s">
        <v>86</v>
      </c>
      <c r="C65" s="5" t="s">
        <v>87</v>
      </c>
      <c r="D65" s="5" t="s">
        <v>88</v>
      </c>
      <c r="E65" s="5">
        <v>700</v>
      </c>
      <c r="F65" s="5">
        <v>50</v>
      </c>
      <c r="G65" s="5" t="s">
        <v>28</v>
      </c>
    </row>
    <row r="66" spans="1:7" x14ac:dyDescent="0.25">
      <c r="B66" s="8" t="s">
        <v>89</v>
      </c>
      <c r="C66" s="8" t="s">
        <v>90</v>
      </c>
      <c r="D66" s="8" t="s">
        <v>91</v>
      </c>
      <c r="E66" s="8">
        <v>80</v>
      </c>
      <c r="F66" s="8">
        <v>20</v>
      </c>
      <c r="G66" s="8" t="s">
        <v>36</v>
      </c>
    </row>
    <row r="67" spans="1:7" x14ac:dyDescent="0.25">
      <c r="B67" s="5" t="s">
        <v>92</v>
      </c>
      <c r="C67" s="5" t="s">
        <v>93</v>
      </c>
      <c r="D67" s="5" t="s">
        <v>94</v>
      </c>
      <c r="E67" s="5">
        <v>150</v>
      </c>
      <c r="F67" s="5">
        <v>30</v>
      </c>
      <c r="G67" s="5"/>
    </row>
    <row r="68" spans="1:7" x14ac:dyDescent="0.25">
      <c r="B68" s="5" t="s">
        <v>95</v>
      </c>
      <c r="C68" s="5" t="s">
        <v>96</v>
      </c>
      <c r="D68" s="5" t="s">
        <v>97</v>
      </c>
      <c r="E68" s="5">
        <v>800</v>
      </c>
      <c r="F68" s="5">
        <v>45</v>
      </c>
      <c r="G68" s="5" t="s">
        <v>28</v>
      </c>
    </row>
    <row r="69" spans="1:7" x14ac:dyDescent="0.25">
      <c r="B69" s="8" t="s">
        <v>98</v>
      </c>
      <c r="C69" s="8" t="s">
        <v>81</v>
      </c>
      <c r="D69" s="8" t="s">
        <v>99</v>
      </c>
      <c r="E69" s="8"/>
      <c r="F69" s="8">
        <v>25</v>
      </c>
      <c r="G69" s="8" t="s">
        <v>32</v>
      </c>
    </row>
    <row r="70" spans="1:7" x14ac:dyDescent="0.25">
      <c r="B70" s="5" t="s">
        <v>100</v>
      </c>
      <c r="C70" s="5" t="s">
        <v>51</v>
      </c>
      <c r="D70" s="5" t="s">
        <v>101</v>
      </c>
      <c r="E70" s="5">
        <v>400</v>
      </c>
      <c r="F70" s="5">
        <v>40</v>
      </c>
      <c r="G70" s="5" t="s">
        <v>36</v>
      </c>
    </row>
    <row r="71" spans="1:7" x14ac:dyDescent="0.25">
      <c r="B71" s="5" t="s">
        <v>102</v>
      </c>
      <c r="C71" s="5" t="s">
        <v>103</v>
      </c>
      <c r="D71" s="5" t="s">
        <v>104</v>
      </c>
      <c r="E71" s="5">
        <v>60</v>
      </c>
      <c r="F71" s="5">
        <v>30</v>
      </c>
      <c r="G71" s="5" t="s">
        <v>32</v>
      </c>
    </row>
    <row r="72" spans="1:7" x14ac:dyDescent="0.25">
      <c r="B72" s="8" t="s">
        <v>105</v>
      </c>
      <c r="C72" s="8" t="s">
        <v>106</v>
      </c>
      <c r="D72" s="8" t="s">
        <v>107</v>
      </c>
      <c r="E72" s="8">
        <v>40</v>
      </c>
      <c r="F72" s="8">
        <v>10</v>
      </c>
      <c r="G72" s="8" t="s">
        <v>36</v>
      </c>
    </row>
    <row r="73" spans="1:7" x14ac:dyDescent="0.25">
      <c r="B73" s="5" t="s">
        <v>108</v>
      </c>
      <c r="C73" s="5" t="s">
        <v>93</v>
      </c>
      <c r="D73" s="5" t="s">
        <v>109</v>
      </c>
      <c r="E73" s="5">
        <v>130</v>
      </c>
      <c r="F73" s="5">
        <v>5</v>
      </c>
      <c r="G73" s="5" t="s">
        <v>28</v>
      </c>
    </row>
    <row r="74" spans="1:7" x14ac:dyDescent="0.25">
      <c r="B74" s="8" t="s">
        <v>110</v>
      </c>
      <c r="C74" s="8" t="s">
        <v>111</v>
      </c>
      <c r="D74" s="8" t="s">
        <v>112</v>
      </c>
      <c r="E74" s="8">
        <v>50</v>
      </c>
      <c r="F74" s="8">
        <v>50</v>
      </c>
      <c r="G74" s="8" t="s">
        <v>32</v>
      </c>
    </row>
    <row r="75" spans="1:7" x14ac:dyDescent="0.25">
      <c r="B75" s="8" t="s">
        <v>113</v>
      </c>
      <c r="C75" s="8" t="s">
        <v>114</v>
      </c>
      <c r="D75" s="8" t="s">
        <v>115</v>
      </c>
      <c r="E75" s="8">
        <v>100</v>
      </c>
      <c r="F75" s="8">
        <v>20</v>
      </c>
      <c r="G75" s="8" t="s">
        <v>75</v>
      </c>
    </row>
    <row r="79" spans="1:7" ht="18" x14ac:dyDescent="0.35">
      <c r="A79" s="26" t="s">
        <v>10</v>
      </c>
      <c r="B79" s="26"/>
      <c r="C79" s="26"/>
    </row>
    <row r="81" spans="2:7" x14ac:dyDescent="0.25">
      <c r="B81" t="s">
        <v>129</v>
      </c>
      <c r="C81" s="16" t="s">
        <v>134</v>
      </c>
      <c r="D81" s="16" t="s">
        <v>128</v>
      </c>
      <c r="F81" s="9" t="s">
        <v>130</v>
      </c>
      <c r="G81" s="16" t="s">
        <v>131</v>
      </c>
    </row>
    <row r="82" spans="2:7" x14ac:dyDescent="0.25">
      <c r="C82" s="23">
        <v>46050</v>
      </c>
      <c r="D82" s="23" t="s">
        <v>116</v>
      </c>
      <c r="G82" s="23" t="str">
        <f>C45&amp;" "&amp;D45</f>
        <v>laptop Dell</v>
      </c>
    </row>
    <row r="83" spans="2:7" x14ac:dyDescent="0.25">
      <c r="C83" s="23">
        <v>46051</v>
      </c>
      <c r="D83" s="23" t="s">
        <v>116</v>
      </c>
      <c r="G83" s="23" t="str">
        <f t="shared" ref="G83:G112" si="0">C46&amp;" "&amp;D46</f>
        <v>Sneakers Nike</v>
      </c>
    </row>
    <row r="84" spans="2:7" x14ac:dyDescent="0.25">
      <c r="C84" s="23">
        <v>46052</v>
      </c>
      <c r="D84" s="23" t="s">
        <v>116</v>
      </c>
      <c r="G84" s="23" t="str">
        <f t="shared" si="0"/>
        <v>Coffee Maker Keurig</v>
      </c>
    </row>
    <row r="85" spans="2:7" x14ac:dyDescent="0.25">
      <c r="C85" s="23">
        <v>46053</v>
      </c>
      <c r="D85" s="23" t="s">
        <v>116</v>
      </c>
      <c r="G85" s="23" t="str">
        <f t="shared" si="0"/>
        <v>smartphone Samsung</v>
      </c>
    </row>
    <row r="86" spans="2:7" x14ac:dyDescent="0.25">
      <c r="C86" s="23">
        <v>46054</v>
      </c>
      <c r="D86" s="23" t="s">
        <v>116</v>
      </c>
      <c r="G86" s="23" t="str">
        <f t="shared" si="0"/>
        <v>Backpack North Face</v>
      </c>
    </row>
    <row r="87" spans="2:7" x14ac:dyDescent="0.25">
      <c r="C87" s="23">
        <v>46055</v>
      </c>
      <c r="D87" s="23" t="s">
        <v>117</v>
      </c>
      <c r="G87" s="23" t="str">
        <f t="shared" si="0"/>
        <v>Headphones Sony</v>
      </c>
    </row>
    <row r="88" spans="2:7" x14ac:dyDescent="0.25">
      <c r="C88" s="23">
        <v>46056</v>
      </c>
      <c r="D88" s="23" t="s">
        <v>117</v>
      </c>
      <c r="G88" s="23" t="str">
        <f t="shared" si="0"/>
        <v>T-shirt Adidas</v>
      </c>
    </row>
    <row r="89" spans="2:7" x14ac:dyDescent="0.25">
      <c r="C89" s="23">
        <v>46057</v>
      </c>
      <c r="D89" s="23" t="s">
        <v>117</v>
      </c>
      <c r="G89" s="23" t="str">
        <f t="shared" si="0"/>
        <v>Blender Ninja</v>
      </c>
    </row>
    <row r="90" spans="2:7" x14ac:dyDescent="0.25">
      <c r="C90" s="23">
        <v>46058</v>
      </c>
      <c r="D90" s="23" t="s">
        <v>117</v>
      </c>
      <c r="G90" s="23" t="str">
        <f t="shared" si="0"/>
        <v>Tablet Apple</v>
      </c>
    </row>
    <row r="91" spans="2:7" x14ac:dyDescent="0.25">
      <c r="C91" s="23">
        <v>46059</v>
      </c>
      <c r="D91" s="23" t="s">
        <v>117</v>
      </c>
      <c r="G91" s="23" t="str">
        <f t="shared" si="0"/>
        <v>Hiking Boots Timberland</v>
      </c>
    </row>
    <row r="92" spans="2:7" x14ac:dyDescent="0.25">
      <c r="C92" s="23">
        <v>46060</v>
      </c>
      <c r="D92" s="23" t="s">
        <v>118</v>
      </c>
      <c r="G92" s="23" t="str">
        <f t="shared" si="0"/>
        <v>Laptop HP</v>
      </c>
    </row>
    <row r="93" spans="2:7" x14ac:dyDescent="0.25">
      <c r="C93" s="23">
        <v>46061</v>
      </c>
      <c r="D93" s="23" t="s">
        <v>119</v>
      </c>
      <c r="G93" s="23" t="str">
        <f t="shared" si="0"/>
        <v>Sneakers Adidas</v>
      </c>
    </row>
    <row r="94" spans="2:7" x14ac:dyDescent="0.25">
      <c r="C94" s="23">
        <v>46062</v>
      </c>
      <c r="D94" s="23" t="s">
        <v>120</v>
      </c>
      <c r="G94" s="23" t="str">
        <f t="shared" si="0"/>
        <v>Coffee Maker Nespresso</v>
      </c>
    </row>
    <row r="95" spans="2:7" x14ac:dyDescent="0.25">
      <c r="C95" s="23">
        <v>46063</v>
      </c>
      <c r="D95" s="23" t="s">
        <v>121</v>
      </c>
      <c r="G95" s="23" t="str">
        <f t="shared" si="0"/>
        <v>Smartwatch Fitbit</v>
      </c>
    </row>
    <row r="96" spans="2:7" x14ac:dyDescent="0.25">
      <c r="C96" s="23">
        <v>46064</v>
      </c>
      <c r="D96" s="23" t="s">
        <v>122</v>
      </c>
      <c r="G96" s="23" t="str">
        <f t="shared" si="0"/>
        <v>headphones Bose</v>
      </c>
    </row>
    <row r="97" spans="3:7" x14ac:dyDescent="0.25">
      <c r="C97" s="23">
        <v>46065</v>
      </c>
      <c r="D97" s="23" t="s">
        <v>121</v>
      </c>
      <c r="G97" s="23" t="str">
        <f t="shared" si="0"/>
        <v>Laptop Bag Samsonite</v>
      </c>
    </row>
    <row r="98" spans="3:7" x14ac:dyDescent="0.25">
      <c r="C98" s="23">
        <v>46066</v>
      </c>
      <c r="D98" s="23" t="s">
        <v>123</v>
      </c>
      <c r="G98" s="23" t="str">
        <f t="shared" si="0"/>
        <v>Smartwatch Huawei</v>
      </c>
    </row>
    <row r="99" spans="3:7" x14ac:dyDescent="0.25">
      <c r="C99" s="23">
        <v>46067</v>
      </c>
      <c r="D99" s="23" t="s">
        <v>124</v>
      </c>
      <c r="G99" s="23" t="str">
        <f t="shared" si="0"/>
        <v>laptop Asus</v>
      </c>
    </row>
    <row r="100" spans="3:7" x14ac:dyDescent="0.25">
      <c r="C100" s="23">
        <v>46068</v>
      </c>
      <c r="D100" s="23" t="s">
        <v>117</v>
      </c>
      <c r="G100" s="23" t="str">
        <f t="shared" si="0"/>
        <v>Sunglasses Oakley</v>
      </c>
    </row>
    <row r="101" spans="3:7" x14ac:dyDescent="0.25">
      <c r="C101" s="23">
        <v>46069</v>
      </c>
      <c r="D101" s="23" t="s">
        <v>116</v>
      </c>
      <c r="G101" s="23" t="str">
        <f t="shared" si="0"/>
        <v>Camping Tent Coleman</v>
      </c>
    </row>
    <row r="102" spans="3:7" x14ac:dyDescent="0.25">
      <c r="C102" s="23">
        <v>46070</v>
      </c>
      <c r="D102" s="23" t="s">
        <v>125</v>
      </c>
      <c r="G102" s="23" t="str">
        <f t="shared" si="0"/>
        <v>Camera Nikon</v>
      </c>
    </row>
    <row r="103" spans="3:7" x14ac:dyDescent="0.25">
      <c r="C103" s="23">
        <v>46071</v>
      </c>
      <c r="D103" s="23" t="s">
        <v>121</v>
      </c>
      <c r="G103" s="23" t="str">
        <f t="shared" si="0"/>
        <v>Microwave Panasonic</v>
      </c>
    </row>
    <row r="104" spans="3:7" x14ac:dyDescent="0.25">
      <c r="C104" s="23">
        <v>46072</v>
      </c>
      <c r="D104" s="23" t="s">
        <v>126</v>
      </c>
      <c r="G104" s="23" t="str">
        <f t="shared" si="0"/>
        <v>Fitness Tracker Xiaomi</v>
      </c>
    </row>
    <row r="105" spans="3:7" x14ac:dyDescent="0.25">
      <c r="C105" s="23">
        <v>46073</v>
      </c>
      <c r="D105" s="23" t="s">
        <v>121</v>
      </c>
      <c r="G105" s="23" t="str">
        <f t="shared" si="0"/>
        <v>Smartphone Google</v>
      </c>
    </row>
    <row r="106" spans="3:7" x14ac:dyDescent="0.25">
      <c r="C106" s="23">
        <v>46074</v>
      </c>
      <c r="D106" s="23" t="s">
        <v>121</v>
      </c>
      <c r="G106" s="23" t="str">
        <f t="shared" si="0"/>
        <v>Sunglasses Ray-Ban</v>
      </c>
    </row>
    <row r="107" spans="3:7" x14ac:dyDescent="0.25">
      <c r="C107" s="23">
        <v>46075</v>
      </c>
      <c r="D107" s="23" t="s">
        <v>121</v>
      </c>
      <c r="G107" s="23" t="str">
        <f t="shared" si="0"/>
        <v>Blender Vitamix</v>
      </c>
    </row>
    <row r="108" spans="3:7" x14ac:dyDescent="0.25">
      <c r="C108" s="23">
        <v>46076</v>
      </c>
      <c r="D108" s="23" t="s">
        <v>121</v>
      </c>
      <c r="G108" s="23" t="str">
        <f t="shared" si="0"/>
        <v>Dress Zara</v>
      </c>
    </row>
    <row r="109" spans="3:7" x14ac:dyDescent="0.25">
      <c r="C109" s="23">
        <v>46077</v>
      </c>
      <c r="D109" s="23" t="s">
        <v>121</v>
      </c>
      <c r="G109" s="23" t="str">
        <f t="shared" si="0"/>
        <v>Toaster Hamilton</v>
      </c>
    </row>
    <row r="110" spans="3:7" x14ac:dyDescent="0.25">
      <c r="C110" s="23">
        <v>46078</v>
      </c>
      <c r="D110" s="23" t="s">
        <v>121</v>
      </c>
      <c r="G110" s="23" t="str">
        <f t="shared" si="0"/>
        <v>Fitness Tracker Garmin</v>
      </c>
    </row>
    <row r="111" spans="3:7" x14ac:dyDescent="0.25">
      <c r="C111" s="23">
        <v>46079</v>
      </c>
      <c r="D111" s="23" t="s">
        <v>121</v>
      </c>
      <c r="G111" s="23" t="str">
        <f t="shared" si="0"/>
        <v>Jeans Levi's</v>
      </c>
    </row>
    <row r="112" spans="3:7" x14ac:dyDescent="0.25">
      <c r="C112" s="23">
        <v>46080</v>
      </c>
      <c r="D112" s="23" t="s">
        <v>127</v>
      </c>
      <c r="G112" s="23" t="str">
        <f t="shared" si="0"/>
        <v>Watch Casio</v>
      </c>
    </row>
    <row r="113" spans="1:10" x14ac:dyDescent="0.25">
      <c r="G113" t="str">
        <f t="shared" ref="G113:G114" si="1">C76&amp;D76</f>
        <v/>
      </c>
    </row>
    <row r="114" spans="1:10" x14ac:dyDescent="0.25">
      <c r="G114" t="str">
        <f t="shared" si="1"/>
        <v/>
      </c>
    </row>
    <row r="115" spans="1:10" ht="18" x14ac:dyDescent="0.35">
      <c r="A115" s="26" t="s">
        <v>13</v>
      </c>
      <c r="B115" s="26"/>
      <c r="C115" s="26"/>
    </row>
    <row r="117" spans="1:10" x14ac:dyDescent="0.25">
      <c r="A117" s="9" t="s">
        <v>129</v>
      </c>
      <c r="B117" s="7" t="s">
        <v>19</v>
      </c>
      <c r="C117" s="11" t="s">
        <v>20</v>
      </c>
      <c r="D117" s="7" t="s">
        <v>21</v>
      </c>
      <c r="E117" s="12" t="s">
        <v>22</v>
      </c>
      <c r="F117" s="7" t="s">
        <v>23</v>
      </c>
      <c r="G117" s="7" t="s">
        <v>24</v>
      </c>
      <c r="I117" t="s">
        <v>130</v>
      </c>
      <c r="J117" s="16" t="s">
        <v>134</v>
      </c>
    </row>
    <row r="118" spans="1:10" x14ac:dyDescent="0.25">
      <c r="B118" s="5" t="s">
        <v>25</v>
      </c>
      <c r="C118" s="5" t="s">
        <v>26</v>
      </c>
      <c r="D118" s="5" t="s">
        <v>27</v>
      </c>
      <c r="E118" s="13">
        <v>1000</v>
      </c>
      <c r="F118" s="5">
        <v>30</v>
      </c>
      <c r="G118" s="5" t="s">
        <v>28</v>
      </c>
      <c r="J118" s="21">
        <v>46050</v>
      </c>
    </row>
    <row r="119" spans="1:10" x14ac:dyDescent="0.25">
      <c r="B119" s="8" t="s">
        <v>29</v>
      </c>
      <c r="C119" s="8" t="s">
        <v>30</v>
      </c>
      <c r="D119" s="8" t="s">
        <v>31</v>
      </c>
      <c r="E119" s="14">
        <v>80</v>
      </c>
      <c r="F119" s="8">
        <v>15</v>
      </c>
      <c r="G119" s="8" t="s">
        <v>32</v>
      </c>
      <c r="J119" s="22">
        <v>46068</v>
      </c>
    </row>
    <row r="120" spans="1:10" x14ac:dyDescent="0.25">
      <c r="B120" s="5" t="s">
        <v>33</v>
      </c>
      <c r="C120" s="5" t="s">
        <v>34</v>
      </c>
      <c r="D120" s="5" t="s">
        <v>35</v>
      </c>
      <c r="E120" s="13">
        <v>130</v>
      </c>
      <c r="F120" s="5">
        <v>40</v>
      </c>
      <c r="G120" s="5" t="s">
        <v>36</v>
      </c>
      <c r="J120" s="21">
        <v>46084</v>
      </c>
    </row>
    <row r="121" spans="1:10" x14ac:dyDescent="0.25">
      <c r="B121" s="8" t="s">
        <v>37</v>
      </c>
      <c r="C121" s="8" t="s">
        <v>38</v>
      </c>
      <c r="D121" s="8" t="s">
        <v>39</v>
      </c>
      <c r="E121" s="14">
        <v>900</v>
      </c>
      <c r="F121" s="8">
        <v>25</v>
      </c>
      <c r="G121" s="8" t="s">
        <v>28</v>
      </c>
      <c r="J121" s="22">
        <v>46123</v>
      </c>
    </row>
    <row r="122" spans="1:10" x14ac:dyDescent="0.25">
      <c r="B122" s="5" t="s">
        <v>40</v>
      </c>
      <c r="C122" s="5" t="s">
        <v>41</v>
      </c>
      <c r="D122" s="5" t="s">
        <v>42</v>
      </c>
      <c r="E122" s="13">
        <v>70</v>
      </c>
      <c r="F122" s="5">
        <v>20</v>
      </c>
      <c r="G122" s="5"/>
      <c r="J122" s="21">
        <v>46164</v>
      </c>
    </row>
    <row r="123" spans="1:10" x14ac:dyDescent="0.25">
      <c r="B123" s="8" t="s">
        <v>43</v>
      </c>
      <c r="C123" s="8" t="s">
        <v>44</v>
      </c>
      <c r="D123" s="8" t="s">
        <v>45</v>
      </c>
      <c r="E123" s="14"/>
      <c r="F123" s="8">
        <v>45</v>
      </c>
      <c r="G123" s="8" t="s">
        <v>46</v>
      </c>
      <c r="J123" s="22">
        <v>46180</v>
      </c>
    </row>
    <row r="124" spans="1:10" x14ac:dyDescent="0.25">
      <c r="B124" s="5" t="s">
        <v>47</v>
      </c>
      <c r="C124" s="5" t="s">
        <v>48</v>
      </c>
      <c r="D124" s="5" t="s">
        <v>49</v>
      </c>
      <c r="E124" s="13">
        <v>30</v>
      </c>
      <c r="F124" s="5">
        <v>5</v>
      </c>
      <c r="G124" s="5" t="s">
        <v>32</v>
      </c>
      <c r="J124" s="21">
        <v>46222</v>
      </c>
    </row>
    <row r="125" spans="1:10" x14ac:dyDescent="0.25">
      <c r="B125" s="8" t="s">
        <v>50</v>
      </c>
      <c r="C125" s="8" t="s">
        <v>51</v>
      </c>
      <c r="D125" s="8" t="s">
        <v>52</v>
      </c>
      <c r="E125" s="14">
        <v>90</v>
      </c>
      <c r="F125" s="8">
        <v>35</v>
      </c>
      <c r="G125" s="8" t="s">
        <v>36</v>
      </c>
      <c r="J125" s="22">
        <v>46257</v>
      </c>
    </row>
    <row r="126" spans="1:10" x14ac:dyDescent="0.25">
      <c r="B126" s="5" t="s">
        <v>53</v>
      </c>
      <c r="C126" s="5" t="s">
        <v>54</v>
      </c>
      <c r="D126" s="5" t="s">
        <v>55</v>
      </c>
      <c r="E126" s="13">
        <v>500</v>
      </c>
      <c r="F126" s="5">
        <v>50</v>
      </c>
      <c r="G126" s="5" t="s">
        <v>28</v>
      </c>
      <c r="J126" s="21">
        <v>46270</v>
      </c>
    </row>
    <row r="127" spans="1:10" x14ac:dyDescent="0.25">
      <c r="B127" s="8" t="s">
        <v>56</v>
      </c>
      <c r="C127" s="8" t="s">
        <v>57</v>
      </c>
      <c r="D127" s="8" t="s">
        <v>58</v>
      </c>
      <c r="E127" s="14">
        <v>130</v>
      </c>
      <c r="F127" s="8">
        <v>10</v>
      </c>
      <c r="G127" s="8" t="s">
        <v>59</v>
      </c>
      <c r="J127" s="22">
        <v>46309</v>
      </c>
    </row>
    <row r="128" spans="1:10" x14ac:dyDescent="0.25">
      <c r="B128" s="5" t="s">
        <v>60</v>
      </c>
      <c r="C128" s="5" t="s">
        <v>61</v>
      </c>
      <c r="D128" s="5" t="s">
        <v>62</v>
      </c>
      <c r="E128" s="13">
        <v>950</v>
      </c>
      <c r="F128" s="5">
        <v>25</v>
      </c>
      <c r="G128" s="5" t="s">
        <v>28</v>
      </c>
      <c r="J128" s="21">
        <v>46190</v>
      </c>
    </row>
    <row r="129" spans="2:10" x14ac:dyDescent="0.25">
      <c r="B129" s="8" t="s">
        <v>63</v>
      </c>
      <c r="C129" s="8" t="s">
        <v>30</v>
      </c>
      <c r="D129" s="8" t="s">
        <v>49</v>
      </c>
      <c r="E129" s="14">
        <v>90</v>
      </c>
      <c r="F129" s="8">
        <v>40</v>
      </c>
      <c r="G129" s="8"/>
      <c r="J129" s="22">
        <v>46351</v>
      </c>
    </row>
    <row r="130" spans="2:10" x14ac:dyDescent="0.25">
      <c r="B130" s="5" t="s">
        <v>64</v>
      </c>
      <c r="C130" s="5" t="s">
        <v>34</v>
      </c>
      <c r="D130" s="5" t="s">
        <v>65</v>
      </c>
      <c r="E130" s="13">
        <v>120</v>
      </c>
      <c r="F130" s="5">
        <v>35</v>
      </c>
      <c r="G130" s="5"/>
      <c r="J130" s="21">
        <v>46364</v>
      </c>
    </row>
    <row r="131" spans="2:10" x14ac:dyDescent="0.25">
      <c r="B131" s="8" t="s">
        <v>66</v>
      </c>
      <c r="C131" s="8" t="s">
        <v>67</v>
      </c>
      <c r="D131" s="8" t="s">
        <v>68</v>
      </c>
      <c r="E131" s="14">
        <v>150</v>
      </c>
      <c r="F131" s="8">
        <v>15</v>
      </c>
      <c r="G131" s="8" t="s">
        <v>46</v>
      </c>
      <c r="J131" s="22">
        <v>46071</v>
      </c>
    </row>
    <row r="132" spans="2:10" x14ac:dyDescent="0.25">
      <c r="B132" s="5" t="s">
        <v>69</v>
      </c>
      <c r="C132" s="5" t="s">
        <v>70</v>
      </c>
      <c r="D132" s="5" t="s">
        <v>71</v>
      </c>
      <c r="E132" s="13">
        <v>250</v>
      </c>
      <c r="F132" s="5">
        <v>20</v>
      </c>
      <c r="G132" s="5" t="s">
        <v>46</v>
      </c>
      <c r="J132" s="21">
        <v>46128</v>
      </c>
    </row>
    <row r="133" spans="2:10" x14ac:dyDescent="0.25">
      <c r="B133" s="8" t="s">
        <v>72</v>
      </c>
      <c r="C133" s="8" t="s">
        <v>73</v>
      </c>
      <c r="D133" s="8" t="s">
        <v>74</v>
      </c>
      <c r="E133" s="14">
        <v>50</v>
      </c>
      <c r="F133" s="8">
        <v>35</v>
      </c>
      <c r="G133" s="8" t="s">
        <v>75</v>
      </c>
      <c r="J133" s="22">
        <v>46255</v>
      </c>
    </row>
    <row r="134" spans="2:10" x14ac:dyDescent="0.25">
      <c r="B134" s="5" t="s">
        <v>76</v>
      </c>
      <c r="C134" s="5" t="s">
        <v>67</v>
      </c>
      <c r="D134" s="5" t="s">
        <v>77</v>
      </c>
      <c r="E134" s="13">
        <v>160</v>
      </c>
      <c r="F134" s="5">
        <v>15</v>
      </c>
      <c r="G134" s="5" t="s">
        <v>46</v>
      </c>
      <c r="J134" s="21">
        <v>46254</v>
      </c>
    </row>
    <row r="135" spans="2:10" x14ac:dyDescent="0.25">
      <c r="B135" s="8" t="s">
        <v>78</v>
      </c>
      <c r="C135" s="8" t="s">
        <v>26</v>
      </c>
      <c r="D135" s="8" t="s">
        <v>79</v>
      </c>
      <c r="E135" s="14">
        <v>980</v>
      </c>
      <c r="F135" s="8">
        <v>10</v>
      </c>
      <c r="G135" s="8" t="s">
        <v>28</v>
      </c>
      <c r="J135" s="22">
        <v>46049</v>
      </c>
    </row>
    <row r="136" spans="2:10" x14ac:dyDescent="0.25">
      <c r="B136" s="5" t="s">
        <v>80</v>
      </c>
      <c r="C136" s="5" t="s">
        <v>81</v>
      </c>
      <c r="D136" s="5" t="s">
        <v>82</v>
      </c>
      <c r="E136" s="13">
        <v>150</v>
      </c>
      <c r="F136" s="5">
        <v>15</v>
      </c>
      <c r="G136" s="5" t="s">
        <v>32</v>
      </c>
      <c r="J136" s="21">
        <v>46082</v>
      </c>
    </row>
    <row r="137" spans="2:10" x14ac:dyDescent="0.25">
      <c r="B137" s="8" t="s">
        <v>83</v>
      </c>
      <c r="C137" s="8" t="s">
        <v>84</v>
      </c>
      <c r="D137" s="8" t="s">
        <v>85</v>
      </c>
      <c r="E137" s="14"/>
      <c r="F137" s="8">
        <v>10</v>
      </c>
      <c r="G137" s="8" t="s">
        <v>59</v>
      </c>
      <c r="J137" s="22">
        <v>46248</v>
      </c>
    </row>
    <row r="138" spans="2:10" x14ac:dyDescent="0.25">
      <c r="B138" s="5" t="s">
        <v>86</v>
      </c>
      <c r="C138" s="5" t="s">
        <v>87</v>
      </c>
      <c r="D138" s="5" t="s">
        <v>88</v>
      </c>
      <c r="E138" s="13">
        <v>700</v>
      </c>
      <c r="F138" s="5">
        <v>50</v>
      </c>
      <c r="G138" s="5" t="s">
        <v>28</v>
      </c>
      <c r="J138" s="21">
        <v>46156</v>
      </c>
    </row>
    <row r="139" spans="2:10" x14ac:dyDescent="0.25">
      <c r="B139" s="8" t="s">
        <v>89</v>
      </c>
      <c r="C139" s="8" t="s">
        <v>90</v>
      </c>
      <c r="D139" s="8" t="s">
        <v>91</v>
      </c>
      <c r="E139" s="14">
        <v>80</v>
      </c>
      <c r="F139" s="8">
        <v>20</v>
      </c>
      <c r="G139" s="8" t="s">
        <v>36</v>
      </c>
      <c r="J139" s="22">
        <v>46031</v>
      </c>
    </row>
    <row r="140" spans="2:10" x14ac:dyDescent="0.25">
      <c r="B140" s="5" t="s">
        <v>92</v>
      </c>
      <c r="C140" s="5" t="s">
        <v>93</v>
      </c>
      <c r="D140" s="5" t="s">
        <v>94</v>
      </c>
      <c r="E140" s="13">
        <v>150</v>
      </c>
      <c r="F140" s="5">
        <v>30</v>
      </c>
      <c r="G140" s="5"/>
      <c r="J140" s="21">
        <v>46222</v>
      </c>
    </row>
    <row r="141" spans="2:10" x14ac:dyDescent="0.25">
      <c r="B141" s="5" t="s">
        <v>95</v>
      </c>
      <c r="C141" s="5" t="s">
        <v>96</v>
      </c>
      <c r="D141" s="5" t="s">
        <v>97</v>
      </c>
      <c r="E141" s="13">
        <v>800</v>
      </c>
      <c r="F141" s="5">
        <v>45</v>
      </c>
      <c r="G141" s="5" t="s">
        <v>28</v>
      </c>
      <c r="J141" s="22">
        <v>46294</v>
      </c>
    </row>
    <row r="142" spans="2:10" x14ac:dyDescent="0.25">
      <c r="B142" s="8" t="s">
        <v>98</v>
      </c>
      <c r="C142" s="8" t="s">
        <v>81</v>
      </c>
      <c r="D142" s="8" t="s">
        <v>99</v>
      </c>
      <c r="E142" s="14"/>
      <c r="F142" s="8">
        <v>25</v>
      </c>
      <c r="G142" s="8" t="s">
        <v>32</v>
      </c>
      <c r="J142" s="21">
        <v>46176</v>
      </c>
    </row>
    <row r="143" spans="2:10" x14ac:dyDescent="0.25">
      <c r="B143" s="5" t="s">
        <v>100</v>
      </c>
      <c r="C143" s="5" t="s">
        <v>51</v>
      </c>
      <c r="D143" s="5" t="s">
        <v>101</v>
      </c>
      <c r="E143" s="13">
        <v>400</v>
      </c>
      <c r="F143" s="5">
        <v>40</v>
      </c>
      <c r="G143" s="5" t="s">
        <v>36</v>
      </c>
      <c r="J143" s="22">
        <v>46214</v>
      </c>
    </row>
    <row r="144" spans="2:10" x14ac:dyDescent="0.25">
      <c r="B144" s="5" t="s">
        <v>102</v>
      </c>
      <c r="C144" s="5" t="s">
        <v>103</v>
      </c>
      <c r="D144" s="5" t="s">
        <v>104</v>
      </c>
      <c r="E144" s="13">
        <v>60</v>
      </c>
      <c r="F144" s="5">
        <v>30</v>
      </c>
      <c r="G144" s="5" t="s">
        <v>32</v>
      </c>
      <c r="J144" s="21">
        <v>46088</v>
      </c>
    </row>
    <row r="145" spans="1:10" x14ac:dyDescent="0.25">
      <c r="B145" s="8" t="s">
        <v>105</v>
      </c>
      <c r="C145" s="8" t="s">
        <v>106</v>
      </c>
      <c r="D145" s="8" t="s">
        <v>107</v>
      </c>
      <c r="E145" s="14">
        <v>40</v>
      </c>
      <c r="F145" s="8">
        <v>10</v>
      </c>
      <c r="G145" s="8" t="s">
        <v>36</v>
      </c>
      <c r="J145" s="22">
        <v>46125</v>
      </c>
    </row>
    <row r="146" spans="1:10" x14ac:dyDescent="0.25">
      <c r="B146" s="5" t="s">
        <v>108</v>
      </c>
      <c r="C146" s="5" t="s">
        <v>93</v>
      </c>
      <c r="D146" s="5" t="s">
        <v>109</v>
      </c>
      <c r="E146" s="13">
        <v>130</v>
      </c>
      <c r="F146" s="5">
        <v>5</v>
      </c>
      <c r="G146" s="5" t="s">
        <v>28</v>
      </c>
      <c r="J146" s="21">
        <v>46166</v>
      </c>
    </row>
    <row r="147" spans="1:10" x14ac:dyDescent="0.25">
      <c r="B147" s="8" t="s">
        <v>110</v>
      </c>
      <c r="C147" s="8" t="s">
        <v>111</v>
      </c>
      <c r="D147" s="8" t="s">
        <v>112</v>
      </c>
      <c r="E147" s="14">
        <v>50</v>
      </c>
      <c r="F147" s="8">
        <v>50</v>
      </c>
      <c r="G147" s="8" t="s">
        <v>32</v>
      </c>
      <c r="J147" s="22">
        <v>46358</v>
      </c>
    </row>
    <row r="148" spans="1:10" x14ac:dyDescent="0.25">
      <c r="B148" s="8" t="s">
        <v>113</v>
      </c>
      <c r="C148" s="8" t="s">
        <v>114</v>
      </c>
      <c r="D148" s="8" t="s">
        <v>115</v>
      </c>
      <c r="E148" s="14">
        <v>100</v>
      </c>
      <c r="F148" s="8">
        <v>20</v>
      </c>
      <c r="G148" s="8" t="s">
        <v>75</v>
      </c>
      <c r="J148" s="21">
        <v>46212</v>
      </c>
    </row>
    <row r="152" spans="1:10" ht="18" x14ac:dyDescent="0.35">
      <c r="A152" s="26" t="s">
        <v>16</v>
      </c>
      <c r="B152" s="26"/>
      <c r="C152" s="26"/>
    </row>
    <row r="154" spans="1:10" x14ac:dyDescent="0.25">
      <c r="B154" s="9" t="s">
        <v>129</v>
      </c>
      <c r="C154" s="12" t="s">
        <v>22</v>
      </c>
      <c r="E154" s="9" t="s">
        <v>130</v>
      </c>
      <c r="F154" s="7" t="s">
        <v>24</v>
      </c>
    </row>
    <row r="155" spans="1:10" x14ac:dyDescent="0.25">
      <c r="C155" s="13">
        <v>1000</v>
      </c>
      <c r="F155" t="s">
        <v>28</v>
      </c>
    </row>
    <row r="156" spans="1:10" x14ac:dyDescent="0.25">
      <c r="C156" s="14">
        <v>80</v>
      </c>
      <c r="F156" t="s">
        <v>32</v>
      </c>
    </row>
    <row r="157" spans="1:10" x14ac:dyDescent="0.25">
      <c r="C157" s="13">
        <v>130</v>
      </c>
      <c r="F157" t="s">
        <v>36</v>
      </c>
    </row>
    <row r="158" spans="1:10" x14ac:dyDescent="0.25">
      <c r="C158" s="14">
        <v>900</v>
      </c>
      <c r="F158" t="s">
        <v>28</v>
      </c>
    </row>
    <row r="159" spans="1:10" x14ac:dyDescent="0.25">
      <c r="C159" s="13">
        <v>70</v>
      </c>
    </row>
    <row r="160" spans="1:10" x14ac:dyDescent="0.25">
      <c r="C160" s="14"/>
      <c r="F160" t="s">
        <v>46</v>
      </c>
    </row>
    <row r="161" spans="3:6" x14ac:dyDescent="0.25">
      <c r="C161" s="13">
        <v>30</v>
      </c>
      <c r="F161" t="s">
        <v>32</v>
      </c>
    </row>
    <row r="162" spans="3:6" x14ac:dyDescent="0.25">
      <c r="C162" s="14">
        <v>90</v>
      </c>
      <c r="F162" t="s">
        <v>36</v>
      </c>
    </row>
    <row r="163" spans="3:6" x14ac:dyDescent="0.25">
      <c r="C163" s="13">
        <v>500</v>
      </c>
      <c r="F163" t="s">
        <v>28</v>
      </c>
    </row>
    <row r="164" spans="3:6" x14ac:dyDescent="0.25">
      <c r="C164" s="14">
        <v>130</v>
      </c>
      <c r="F164" t="s">
        <v>59</v>
      </c>
    </row>
    <row r="165" spans="3:6" x14ac:dyDescent="0.25">
      <c r="C165" s="13">
        <v>950</v>
      </c>
      <c r="F165" t="s">
        <v>28</v>
      </c>
    </row>
    <row r="166" spans="3:6" x14ac:dyDescent="0.25">
      <c r="C166" s="14">
        <v>90</v>
      </c>
    </row>
    <row r="167" spans="3:6" x14ac:dyDescent="0.25">
      <c r="C167" s="13">
        <v>120</v>
      </c>
    </row>
    <row r="168" spans="3:6" x14ac:dyDescent="0.25">
      <c r="C168" s="14">
        <v>150</v>
      </c>
      <c r="F168" t="s">
        <v>46</v>
      </c>
    </row>
    <row r="169" spans="3:6" x14ac:dyDescent="0.25">
      <c r="C169" s="13">
        <v>250</v>
      </c>
      <c r="F169" t="s">
        <v>46</v>
      </c>
    </row>
    <row r="170" spans="3:6" x14ac:dyDescent="0.25">
      <c r="C170" s="14">
        <v>50</v>
      </c>
      <c r="F170" t="s">
        <v>75</v>
      </c>
    </row>
    <row r="171" spans="3:6" x14ac:dyDescent="0.25">
      <c r="C171" s="13">
        <v>160</v>
      </c>
      <c r="F171" t="s">
        <v>46</v>
      </c>
    </row>
    <row r="172" spans="3:6" x14ac:dyDescent="0.25">
      <c r="C172" s="14">
        <v>980</v>
      </c>
      <c r="F172" t="s">
        <v>28</v>
      </c>
    </row>
    <row r="173" spans="3:6" x14ac:dyDescent="0.25">
      <c r="C173" s="13">
        <v>150</v>
      </c>
      <c r="F173" t="s">
        <v>32</v>
      </c>
    </row>
    <row r="174" spans="3:6" x14ac:dyDescent="0.25">
      <c r="C174" s="14"/>
      <c r="F174" t="s">
        <v>59</v>
      </c>
    </row>
    <row r="175" spans="3:6" x14ac:dyDescent="0.25">
      <c r="C175" s="13">
        <v>700</v>
      </c>
      <c r="F175" t="s">
        <v>28</v>
      </c>
    </row>
    <row r="176" spans="3:6" x14ac:dyDescent="0.25">
      <c r="C176" s="14">
        <v>80</v>
      </c>
      <c r="F176" t="s">
        <v>36</v>
      </c>
    </row>
    <row r="177" spans="1:6" x14ac:dyDescent="0.25">
      <c r="C177" s="13">
        <v>150</v>
      </c>
    </row>
    <row r="178" spans="1:6" x14ac:dyDescent="0.25">
      <c r="C178" s="13">
        <v>800</v>
      </c>
      <c r="F178" t="s">
        <v>28</v>
      </c>
    </row>
    <row r="179" spans="1:6" x14ac:dyDescent="0.25">
      <c r="C179" s="14"/>
      <c r="F179" t="s">
        <v>32</v>
      </c>
    </row>
    <row r="180" spans="1:6" x14ac:dyDescent="0.25">
      <c r="C180" s="13">
        <v>400</v>
      </c>
      <c r="F180" t="s">
        <v>36</v>
      </c>
    </row>
    <row r="181" spans="1:6" x14ac:dyDescent="0.25">
      <c r="C181" s="13">
        <v>60</v>
      </c>
      <c r="F181" t="s">
        <v>32</v>
      </c>
    </row>
    <row r="182" spans="1:6" x14ac:dyDescent="0.25">
      <c r="C182" s="14">
        <v>40</v>
      </c>
      <c r="F182" t="s">
        <v>36</v>
      </c>
    </row>
    <row r="183" spans="1:6" x14ac:dyDescent="0.25">
      <c r="C183" s="13">
        <v>130</v>
      </c>
      <c r="F183" t="s">
        <v>28</v>
      </c>
    </row>
    <row r="184" spans="1:6" x14ac:dyDescent="0.25">
      <c r="C184" s="14">
        <v>50</v>
      </c>
      <c r="F184" t="s">
        <v>32</v>
      </c>
    </row>
    <row r="185" spans="1:6" x14ac:dyDescent="0.25">
      <c r="C185" s="14">
        <v>100</v>
      </c>
      <c r="F185" t="s">
        <v>75</v>
      </c>
    </row>
    <row r="189" spans="1:6" ht="18" x14ac:dyDescent="0.35">
      <c r="A189" s="26" t="s">
        <v>4</v>
      </c>
      <c r="B189" s="26"/>
      <c r="C189" s="26"/>
    </row>
    <row r="191" spans="1:6" x14ac:dyDescent="0.25">
      <c r="C191" s="17" t="s">
        <v>20</v>
      </c>
      <c r="F191" s="18" t="s">
        <v>24</v>
      </c>
    </row>
    <row r="192" spans="1:6" x14ac:dyDescent="0.25">
      <c r="C192" s="24" t="s">
        <v>26</v>
      </c>
      <c r="F192" s="19" t="s">
        <v>135</v>
      </c>
    </row>
    <row r="193" spans="3:6" x14ac:dyDescent="0.25">
      <c r="C193" s="25" t="s">
        <v>30</v>
      </c>
      <c r="F193" s="20" t="s">
        <v>32</v>
      </c>
    </row>
    <row r="194" spans="3:6" x14ac:dyDescent="0.25">
      <c r="C194" s="24" t="s">
        <v>34</v>
      </c>
      <c r="F194" s="19" t="s">
        <v>36</v>
      </c>
    </row>
    <row r="195" spans="3:6" x14ac:dyDescent="0.25">
      <c r="C195" s="25" t="s">
        <v>38</v>
      </c>
      <c r="F195" s="20" t="s">
        <v>135</v>
      </c>
    </row>
    <row r="196" spans="3:6" x14ac:dyDescent="0.25">
      <c r="C196" s="24" t="s">
        <v>41</v>
      </c>
      <c r="F196" s="19" t="s">
        <v>135</v>
      </c>
    </row>
    <row r="197" spans="3:6" x14ac:dyDescent="0.25">
      <c r="C197" s="25" t="s">
        <v>44</v>
      </c>
      <c r="F197" s="20" t="s">
        <v>28</v>
      </c>
    </row>
    <row r="198" spans="3:6" x14ac:dyDescent="0.25">
      <c r="C198" s="24" t="s">
        <v>48</v>
      </c>
      <c r="F198" s="19" t="s">
        <v>32</v>
      </c>
    </row>
    <row r="199" spans="3:6" x14ac:dyDescent="0.25">
      <c r="C199" s="25" t="s">
        <v>51</v>
      </c>
      <c r="F199" s="20" t="s">
        <v>36</v>
      </c>
    </row>
    <row r="200" spans="3:6" x14ac:dyDescent="0.25">
      <c r="C200" s="24" t="s">
        <v>54</v>
      </c>
      <c r="F200" s="19" t="s">
        <v>135</v>
      </c>
    </row>
    <row r="201" spans="3:6" x14ac:dyDescent="0.25">
      <c r="C201" s="25" t="s">
        <v>57</v>
      </c>
      <c r="F201" s="20" t="s">
        <v>59</v>
      </c>
    </row>
    <row r="202" spans="3:6" x14ac:dyDescent="0.25">
      <c r="C202" s="24" t="s">
        <v>61</v>
      </c>
      <c r="F202" s="19" t="s">
        <v>135</v>
      </c>
    </row>
    <row r="203" spans="3:6" x14ac:dyDescent="0.25">
      <c r="C203" s="25" t="s">
        <v>30</v>
      </c>
      <c r="F203" s="20" t="s">
        <v>135</v>
      </c>
    </row>
    <row r="204" spans="3:6" x14ac:dyDescent="0.25">
      <c r="C204" s="24" t="s">
        <v>34</v>
      </c>
      <c r="F204" s="19" t="s">
        <v>135</v>
      </c>
    </row>
    <row r="205" spans="3:6" x14ac:dyDescent="0.25">
      <c r="C205" s="25" t="s">
        <v>67</v>
      </c>
      <c r="F205" s="20" t="s">
        <v>28</v>
      </c>
    </row>
    <row r="206" spans="3:6" x14ac:dyDescent="0.25">
      <c r="C206" s="24" t="s">
        <v>70</v>
      </c>
      <c r="F206" s="19" t="s">
        <v>28</v>
      </c>
    </row>
    <row r="207" spans="3:6" x14ac:dyDescent="0.25">
      <c r="C207" s="25" t="s">
        <v>73</v>
      </c>
      <c r="F207" s="20" t="s">
        <v>75</v>
      </c>
    </row>
    <row r="208" spans="3:6" x14ac:dyDescent="0.25">
      <c r="C208" s="24" t="s">
        <v>67</v>
      </c>
      <c r="F208" s="19" t="s">
        <v>28</v>
      </c>
    </row>
    <row r="209" spans="3:6" x14ac:dyDescent="0.25">
      <c r="C209" s="25" t="s">
        <v>26</v>
      </c>
      <c r="F209" s="20" t="s">
        <v>135</v>
      </c>
    </row>
    <row r="210" spans="3:6" x14ac:dyDescent="0.25">
      <c r="C210" s="24" t="s">
        <v>81</v>
      </c>
      <c r="F210" s="19" t="s">
        <v>32</v>
      </c>
    </row>
    <row r="211" spans="3:6" x14ac:dyDescent="0.25">
      <c r="C211" s="25" t="s">
        <v>84</v>
      </c>
      <c r="F211" s="20" t="s">
        <v>59</v>
      </c>
    </row>
    <row r="212" spans="3:6" x14ac:dyDescent="0.25">
      <c r="C212" s="24" t="s">
        <v>87</v>
      </c>
      <c r="F212" s="19" t="s">
        <v>135</v>
      </c>
    </row>
    <row r="213" spans="3:6" x14ac:dyDescent="0.25">
      <c r="C213" s="25" t="s">
        <v>90</v>
      </c>
      <c r="F213" s="20" t="s">
        <v>36</v>
      </c>
    </row>
    <row r="214" spans="3:6" x14ac:dyDescent="0.25">
      <c r="C214" s="24" t="s">
        <v>93</v>
      </c>
      <c r="F214" s="19" t="s">
        <v>135</v>
      </c>
    </row>
    <row r="215" spans="3:6" x14ac:dyDescent="0.25">
      <c r="C215" s="25" t="s">
        <v>96</v>
      </c>
      <c r="F215" s="20" t="s">
        <v>135</v>
      </c>
    </row>
    <row r="216" spans="3:6" x14ac:dyDescent="0.25">
      <c r="C216" s="24" t="s">
        <v>81</v>
      </c>
      <c r="F216" s="19" t="s">
        <v>32</v>
      </c>
    </row>
    <row r="217" spans="3:6" x14ac:dyDescent="0.25">
      <c r="C217" s="25" t="s">
        <v>51</v>
      </c>
      <c r="F217" s="20" t="s">
        <v>36</v>
      </c>
    </row>
    <row r="218" spans="3:6" x14ac:dyDescent="0.25">
      <c r="C218" s="24" t="s">
        <v>103</v>
      </c>
      <c r="F218" s="19" t="s">
        <v>32</v>
      </c>
    </row>
    <row r="219" spans="3:6" x14ac:dyDescent="0.25">
      <c r="C219" s="25" t="s">
        <v>106</v>
      </c>
      <c r="F219" s="20" t="s">
        <v>36</v>
      </c>
    </row>
    <row r="220" spans="3:6" x14ac:dyDescent="0.25">
      <c r="C220" s="24" t="s">
        <v>93</v>
      </c>
      <c r="F220" s="19" t="s">
        <v>135</v>
      </c>
    </row>
    <row r="221" spans="3:6" x14ac:dyDescent="0.25">
      <c r="C221" s="25" t="s">
        <v>111</v>
      </c>
      <c r="F221" s="20" t="s">
        <v>32</v>
      </c>
    </row>
    <row r="222" spans="3:6" x14ac:dyDescent="0.25">
      <c r="C222" s="24" t="s">
        <v>114</v>
      </c>
      <c r="F222" s="19" t="s">
        <v>75</v>
      </c>
    </row>
    <row r="223" spans="3:6" x14ac:dyDescent="0.25">
      <c r="F223" s="20"/>
    </row>
  </sheetData>
  <mergeCells count="8">
    <mergeCell ref="A1:C1"/>
    <mergeCell ref="A3:Q3"/>
    <mergeCell ref="A5:T5"/>
    <mergeCell ref="A189:C189"/>
    <mergeCell ref="A115:C115"/>
    <mergeCell ref="A152:C152"/>
    <mergeCell ref="A42:C42"/>
    <mergeCell ref="A79:C79"/>
  </mergeCells>
  <conditionalFormatting sqref="C155:C1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5:F185">
    <cfRule type="containsText" dxfId="1" priority="1" operator="containsText" text="Electronics">
      <formula>NOT(ISERROR(SEARCH("Electronics",F155)))</formula>
    </cfRule>
    <cfRule type="containsText" dxfId="0" priority="2" operator="containsText" text="Electronics">
      <formula>NOT(ISERROR(SEARCH("Electronics",F155)))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F26C4-5593-495C-8E5C-41904B2F9A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dataset cleaned in power query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muhammed musaddique</cp:lastModifiedBy>
  <dcterms:created xsi:type="dcterms:W3CDTF">2026-10-06T03:34:37Z</dcterms:created>
  <dcterms:modified xsi:type="dcterms:W3CDTF">2026-10-11T06:03:41Z</dcterms:modified>
</cp:coreProperties>
</file>